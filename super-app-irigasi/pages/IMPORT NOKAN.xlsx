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2026-01-05T19-35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<sst xmlns="http://schemas.openxmlformats.org/spreadsheetml/2006/main" count="77" uniqueCount="77">
  <si>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Nama Segmen</t>
  </si>
  <si>
    <t>STA Awal (m)</t>
  </si>
  <si>
    <t>STA Akhir (m)</t>
  </si>
  <si>
    <t>Elev Awal (m)</t>
  </si>
  <si>
    <t>Elev Akhir (m)</t>
  </si>
  <si>
    <t>Lebar b (m)</t>
  </si>
  <si>
    <t>Talud m</t>
  </si>
  <si>
    <t>Kekasaran n</t>
  </si>
  <si>
    <t>Desain S</t>
  </si>
  <si>
    <t>Desain B (m)</t>
  </si>
  <si>
    <t>Desain m</t>
  </si>
  <si>
    <t>TERJUNAN (m)</t>
  </si>
  <si>
    <t>Debit Q (m3/s)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</si>
  <si>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</si>
  <si>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</si>
  <si>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</si>
  <si>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</si>
  <si>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</si>
  <si>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</si>
  <si>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</si>
  <si>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</si>
  <si>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</si>
  <si>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</si>
  <si>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</si>
  <si>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</si>
  <si>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</si>
  <si>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</si>
  <si>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</si>
  <si>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</si>
  <si>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</si>
  <si>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</si>
  <si>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</si>
  <si>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</si>
  <si>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</si>
  <si>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</si>
  <si>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</si>
  <si>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</si>
  <si>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</si>
  <si>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</si>
  <si>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</si>
  <si>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</si>
  <si>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</si>
  <si>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</si>
  <si>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</si>
  <si>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</si>
  <si>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</si>
  <si>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</si>
  <si>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</si>
  <si>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</si>
  <si>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</si>
  <si>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</si>
  <si>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</si>
  <si>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</si>
  <si>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</si>
  <si>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</si>
  <si>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</si>
  <si>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</si>
  <si>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</si>
  <si>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</si>
  <si>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</si>
  <si>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</si>
  <si>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</si>
  <si>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</si>
  <si>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</si>
  <si>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</si>
  <si>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</si>
  <si>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</si>
  <si>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</si>
  <si>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</si>
  <si>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</si>
  <si>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</si>
  <si>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</si>
  <si>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</si>
  <si>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</si>
  <si>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</si>
  <si>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</si>
  <si>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TARGET TURUN (DROP)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</si>
</sst>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</numFmts>
  <fonts count="23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zoomScale="85" zoomScaleNormal="85" zoomScaleSheetLayoutView="60" workbookViewId="0">
      <selection activeCell="N68" sqref="N67:N68"/>
    </sheetView>
  </sheetViews>
  <sheetFormatPr defaultColWidth="10.2857142857143" defaultRowHeight="15"/>
  <cols>
    <col min="12" max="12" width="10.2857142857143" style="2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</row>
    <row r="2" s="1" customFormat="1" spans="1:13">
      <c r="A2" s="1" t="s">
        <v>13</v>
      </c>
      <c r="B2" s="1">
        <v>0</v>
      </c>
      <c r="C2" s="1">
        <v>25</v>
      </c>
      <c r="D2" s="1">
        <v>320</v>
      </c>
      <c r="E2" s="1">
        <v>319.92</v>
      </c>
      <c r="F2" s="1">
        <v>0.6</v>
      </c>
      <c r="G2" s="1">
        <v>0</v>
      </c>
      <c r="H2" s="1">
        <v>0.017</v>
      </c>
      <c r="I2" s="1">
        <v>0.003</v>
      </c>
      <c r="J2" s="1">
        <v>0.6</v>
      </c>
      <c r="K2" s="1">
        <v>0</v>
      </c>
      <c r="L2" s="4">
        <v>-1.5</v>
      </c>
      <c r="M2" s="1">
        <v>0.17</v>
      </c>
    </row>
    <row r="3" spans="1:13">
      <c r="A3" t="s">
        <v>14</v>
      </c>
      <c r="B3">
        <v>25</v>
      </c>
      <c r="C3">
        <v>50</v>
      </c>
      <c r="D3">
        <v>319.92</v>
      </c>
      <c r="E3">
        <v>320.3506</v>
      </c>
      <c r="F3">
        <v>0.6</v>
      </c>
      <c r="G3">
        <v>1</v>
      </c>
      <c r="H3">
        <v>0.017</v>
      </c>
      <c r="I3">
        <v>0.003</v>
      </c>
      <c r="J3">
        <v>0.6</v>
      </c>
      <c r="K3">
        <v>1</v>
      </c>
      <c r="L3" s="2">
        <v>0</v>
      </c>
      <c r="M3">
        <v>0.17</v>
      </c>
    </row>
    <row r="4" spans="1:13">
      <c r="A4" t="s">
        <v>15</v>
      </c>
      <c r="B4">
        <v>50</v>
      </c>
      <c r="C4">
        <v>64</v>
      </c>
      <c r="D4">
        <v>320.3506</v>
      </c>
      <c r="E4">
        <v>320.135</v>
      </c>
      <c r="F4">
        <v>0.6</v>
      </c>
      <c r="G4">
        <v>1</v>
      </c>
      <c r="H4">
        <v>0.017</v>
      </c>
      <c r="I4">
        <v>0.003</v>
      </c>
      <c r="J4">
        <v>0.6</v>
      </c>
      <c r="K4">
        <v>1</v>
      </c>
      <c r="L4" s="2">
        <v>0</v>
      </c>
      <c r="M4">
        <v>0.17</v>
      </c>
    </row>
    <row r="5" s="1" customFormat="1" spans="1:13">
      <c r="A5" s="1" t="s">
        <v>16</v>
      </c>
      <c r="B5" s="1">
        <v>64</v>
      </c>
      <c r="C5" s="1">
        <v>75</v>
      </c>
      <c r="D5" s="1">
        <v>320.135</v>
      </c>
      <c r="E5" s="1">
        <v>319.8485</v>
      </c>
      <c r="F5" s="1">
        <v>0.6</v>
      </c>
      <c r="G5" s="1">
        <v>1</v>
      </c>
      <c r="H5" s="1">
        <v>0.017</v>
      </c>
      <c r="I5" s="1">
        <v>0.003</v>
      </c>
      <c r="J5" s="1">
        <v>0.6</v>
      </c>
      <c r="K5" s="1">
        <v>1</v>
      </c>
      <c r="L5" s="4">
        <f>L2</f>
        <v>-1.5</v>
      </c>
      <c r="M5" s="1">
        <v>0.17</v>
      </c>
    </row>
    <row r="6" spans="1:13">
      <c r="A6" t="s">
        <v>17</v>
      </c>
      <c r="B6">
        <v>75</v>
      </c>
      <c r="C6">
        <v>100</v>
      </c>
      <c r="D6">
        <v>319.8485</v>
      </c>
      <c r="E6">
        <v>319.0658</v>
      </c>
      <c r="F6">
        <v>0.6</v>
      </c>
      <c r="G6">
        <v>1</v>
      </c>
      <c r="H6">
        <v>0.017</v>
      </c>
      <c r="I6">
        <v>0.003</v>
      </c>
      <c r="J6">
        <v>0.6</v>
      </c>
      <c r="K6">
        <v>1</v>
      </c>
      <c r="L6" s="2">
        <v>0</v>
      </c>
      <c r="M6">
        <v>0.17</v>
      </c>
    </row>
    <row r="7" spans="1:13">
      <c r="A7" t="s">
        <v>18</v>
      </c>
      <c r="B7">
        <v>100</v>
      </c>
      <c r="C7">
        <v>114</v>
      </c>
      <c r="D7">
        <v>319.0658</v>
      </c>
      <c r="E7">
        <v>318.7121</v>
      </c>
      <c r="F7">
        <v>0.6</v>
      </c>
      <c r="G7">
        <v>1</v>
      </c>
      <c r="H7">
        <v>0.017</v>
      </c>
      <c r="I7">
        <v>0.003</v>
      </c>
      <c r="J7">
        <v>0.6</v>
      </c>
      <c r="K7">
        <v>1</v>
      </c>
      <c r="L7" s="2">
        <v>0</v>
      </c>
      <c r="M7">
        <v>0.17</v>
      </c>
    </row>
    <row r="8" s="1" customFormat="1" spans="1:13">
      <c r="A8" s="1" t="s">
        <v>19</v>
      </c>
      <c r="B8" s="1">
        <v>114</v>
      </c>
      <c r="C8" s="1">
        <v>125</v>
      </c>
      <c r="D8" s="1">
        <v>318.7121</v>
      </c>
      <c r="E8" s="1">
        <v>318.5071</v>
      </c>
      <c r="F8" s="1">
        <v>0.6</v>
      </c>
      <c r="G8" s="1">
        <v>1</v>
      </c>
      <c r="H8" s="1">
        <v>0.017</v>
      </c>
      <c r="I8" s="1">
        <v>0.003</v>
      </c>
      <c r="J8" s="1">
        <v>0.6</v>
      </c>
      <c r="K8" s="1">
        <v>1</v>
      </c>
      <c r="L8" s="4">
        <f>L5</f>
        <v>-1.5</v>
      </c>
      <c r="M8" s="1">
        <v>0.17</v>
      </c>
    </row>
    <row r="9" spans="1:13">
      <c r="A9" t="s">
        <v>20</v>
      </c>
      <c r="B9">
        <v>125</v>
      </c>
      <c r="C9">
        <v>142</v>
      </c>
      <c r="D9">
        <v>318.5071</v>
      </c>
      <c r="E9">
        <v>318.0518</v>
      </c>
      <c r="F9">
        <v>0.6</v>
      </c>
      <c r="G9">
        <v>1</v>
      </c>
      <c r="H9">
        <v>0.017</v>
      </c>
      <c r="I9">
        <v>0.003</v>
      </c>
      <c r="J9">
        <v>0.6</v>
      </c>
      <c r="K9">
        <v>1</v>
      </c>
      <c r="L9" s="2">
        <v>0</v>
      </c>
      <c r="M9">
        <v>0.17</v>
      </c>
    </row>
    <row r="10" s="1" customFormat="1" spans="1:13">
      <c r="A10" s="1" t="s">
        <v>21</v>
      </c>
      <c r="B10" s="1">
        <v>142</v>
      </c>
      <c r="C10" s="1">
        <v>150</v>
      </c>
      <c r="D10" s="1">
        <v>318.0518</v>
      </c>
      <c r="E10" s="1">
        <v>317.4907</v>
      </c>
      <c r="F10" s="1">
        <v>0.6</v>
      </c>
      <c r="G10" s="1">
        <v>1</v>
      </c>
      <c r="H10" s="1">
        <v>0.017</v>
      </c>
      <c r="I10" s="1">
        <v>0.003</v>
      </c>
      <c r="J10" s="1">
        <v>0.6</v>
      </c>
      <c r="K10" s="1">
        <v>1</v>
      </c>
      <c r="L10" s="4">
        <f>L8</f>
        <v>-1.5</v>
      </c>
      <c r="M10" s="1">
        <v>0.17</v>
      </c>
    </row>
    <row r="11" spans="1:13">
      <c r="A11" t="s">
        <v>22</v>
      </c>
      <c r="B11">
        <v>150</v>
      </c>
      <c r="C11">
        <v>175</v>
      </c>
      <c r="D11">
        <v>317.4907</v>
      </c>
      <c r="E11">
        <v>315.736</v>
      </c>
      <c r="F11">
        <v>0.6</v>
      </c>
      <c r="G11">
        <v>1</v>
      </c>
      <c r="H11">
        <v>0.017</v>
      </c>
      <c r="I11">
        <v>0.003</v>
      </c>
      <c r="J11">
        <v>0.6</v>
      </c>
      <c r="K11">
        <v>1</v>
      </c>
      <c r="L11" s="2">
        <v>0</v>
      </c>
      <c r="M11">
        <v>0.17</v>
      </c>
    </row>
    <row r="12" spans="1:13">
      <c r="A12" t="s">
        <v>23</v>
      </c>
      <c r="B12">
        <v>175</v>
      </c>
      <c r="C12">
        <v>200</v>
      </c>
      <c r="D12">
        <v>315.736</v>
      </c>
      <c r="E12">
        <v>314.5629</v>
      </c>
      <c r="F12">
        <v>0.6</v>
      </c>
      <c r="G12">
        <v>1</v>
      </c>
      <c r="H12">
        <v>0.017</v>
      </c>
      <c r="I12">
        <v>0.003</v>
      </c>
      <c r="J12">
        <v>0.6</v>
      </c>
      <c r="K12">
        <v>1</v>
      </c>
      <c r="L12" s="2">
        <v>0</v>
      </c>
      <c r="M12">
        <v>0.17</v>
      </c>
    </row>
    <row r="13" s="1" customFormat="1" spans="1:13">
      <c r="A13" s="1" t="s">
        <v>24</v>
      </c>
      <c r="B13" s="1">
        <v>200</v>
      </c>
      <c r="C13" s="1">
        <v>225</v>
      </c>
      <c r="D13" s="1">
        <v>314.5629</v>
      </c>
      <c r="E13" s="1">
        <v>313.6968</v>
      </c>
      <c r="F13" s="1">
        <v>0.6</v>
      </c>
      <c r="G13" s="1">
        <v>0</v>
      </c>
      <c r="H13" s="1">
        <v>0.017</v>
      </c>
      <c r="I13" s="1">
        <v>0.003</v>
      </c>
      <c r="J13" s="1">
        <v>0.6</v>
      </c>
      <c r="K13" s="1">
        <v>0</v>
      </c>
      <c r="L13" s="4">
        <f>L10</f>
        <v>-1.5</v>
      </c>
      <c r="M13" s="1">
        <v>0.17</v>
      </c>
    </row>
    <row r="14" spans="1:13">
      <c r="A14" t="s">
        <v>25</v>
      </c>
      <c r="B14">
        <v>225</v>
      </c>
      <c r="C14">
        <v>244</v>
      </c>
      <c r="D14">
        <v>313.6968</v>
      </c>
      <c r="E14">
        <v>312.7404</v>
      </c>
      <c r="F14">
        <v>0.6</v>
      </c>
      <c r="G14">
        <v>1</v>
      </c>
      <c r="H14">
        <v>0.017</v>
      </c>
      <c r="I14">
        <v>0.003</v>
      </c>
      <c r="J14">
        <v>0.6</v>
      </c>
      <c r="K14">
        <v>1</v>
      </c>
      <c r="L14" s="2">
        <v>0</v>
      </c>
      <c r="M14">
        <v>0.17</v>
      </c>
    </row>
    <row r="15" s="1" customFormat="1" spans="1:13">
      <c r="A15" s="1" t="s">
        <v>26</v>
      </c>
      <c r="B15" s="1">
        <v>244</v>
      </c>
      <c r="C15" s="1">
        <v>250</v>
      </c>
      <c r="D15" s="1">
        <v>312.7404</v>
      </c>
      <c r="E15" s="1">
        <v>312.4344</v>
      </c>
      <c r="F15" s="1">
        <v>0.6</v>
      </c>
      <c r="G15" s="1">
        <v>1</v>
      </c>
      <c r="H15" s="1">
        <v>0.017</v>
      </c>
      <c r="I15" s="1">
        <v>0.003</v>
      </c>
      <c r="J15" s="1">
        <v>0.6</v>
      </c>
      <c r="K15" s="1">
        <v>1</v>
      </c>
      <c r="L15" s="4">
        <f>L13</f>
        <v>-1.5</v>
      </c>
      <c r="M15" s="1">
        <v>0.17</v>
      </c>
    </row>
    <row r="16" spans="1:13">
      <c r="A16" t="s">
        <v>27</v>
      </c>
      <c r="B16">
        <v>250</v>
      </c>
      <c r="C16">
        <v>275</v>
      </c>
      <c r="D16">
        <v>312.4344</v>
      </c>
      <c r="E16">
        <v>311.5445</v>
      </c>
      <c r="F16">
        <v>0.6</v>
      </c>
      <c r="G16">
        <v>1</v>
      </c>
      <c r="H16">
        <v>0.017</v>
      </c>
      <c r="I16">
        <v>0.003</v>
      </c>
      <c r="J16">
        <v>0.6</v>
      </c>
      <c r="K16">
        <v>1</v>
      </c>
      <c r="L16" s="2">
        <v>0</v>
      </c>
      <c r="M16">
        <v>0.17</v>
      </c>
    </row>
    <row r="17" spans="1:13">
      <c r="A17" t="s">
        <v>28</v>
      </c>
      <c r="B17">
        <v>275</v>
      </c>
      <c r="C17">
        <v>300</v>
      </c>
      <c r="D17">
        <v>311.5445</v>
      </c>
      <c r="E17">
        <v>310.794</v>
      </c>
      <c r="F17">
        <v>0.6</v>
      </c>
      <c r="G17">
        <v>1</v>
      </c>
      <c r="H17">
        <v>0.017</v>
      </c>
      <c r="I17">
        <v>0.003</v>
      </c>
      <c r="J17">
        <v>0.6</v>
      </c>
      <c r="K17">
        <v>1</v>
      </c>
      <c r="L17" s="2">
        <v>0</v>
      </c>
      <c r="M17">
        <v>0.17</v>
      </c>
    </row>
    <row r="18" spans="1:13">
      <c r="A18" t="s">
        <v>29</v>
      </c>
      <c r="B18">
        <v>300</v>
      </c>
      <c r="C18">
        <v>322</v>
      </c>
      <c r="D18">
        <v>310.794</v>
      </c>
      <c r="E18">
        <v>309.9133</v>
      </c>
      <c r="F18">
        <v>0.6</v>
      </c>
      <c r="G18">
        <v>1</v>
      </c>
      <c r="H18">
        <v>0.017</v>
      </c>
      <c r="I18">
        <v>0.003</v>
      </c>
      <c r="J18">
        <v>0.6</v>
      </c>
      <c r="K18">
        <v>1</v>
      </c>
      <c r="L18" s="2">
        <v>0</v>
      </c>
      <c r="M18">
        <v>0.17</v>
      </c>
    </row>
    <row r="19" spans="1:13">
      <c r="A19" t="s">
        <v>30</v>
      </c>
      <c r="B19">
        <v>322</v>
      </c>
      <c r="C19">
        <v>325</v>
      </c>
      <c r="D19">
        <v>309.9133</v>
      </c>
      <c r="E19">
        <v>309.8524</v>
      </c>
      <c r="F19">
        <v>0.6</v>
      </c>
      <c r="G19">
        <v>1</v>
      </c>
      <c r="H19">
        <v>0.017</v>
      </c>
      <c r="I19">
        <v>0.003</v>
      </c>
      <c r="J19">
        <v>0.6</v>
      </c>
      <c r="K19">
        <v>1</v>
      </c>
      <c r="L19" s="2">
        <v>0</v>
      </c>
      <c r="M19">
        <v>0.17</v>
      </c>
    </row>
    <row r="20" spans="1:13">
      <c r="A20" t="s">
        <v>31</v>
      </c>
      <c r="B20">
        <v>325</v>
      </c>
      <c r="C20">
        <v>350</v>
      </c>
      <c r="D20">
        <v>309.8524</v>
      </c>
      <c r="E20">
        <v>309.2671</v>
      </c>
      <c r="F20">
        <v>0.6</v>
      </c>
      <c r="G20">
        <v>1</v>
      </c>
      <c r="H20">
        <v>0.017</v>
      </c>
      <c r="I20">
        <v>0.003</v>
      </c>
      <c r="J20">
        <v>0.6</v>
      </c>
      <c r="K20">
        <v>1</v>
      </c>
      <c r="L20" s="2">
        <v>0</v>
      </c>
      <c r="M20">
        <v>0.17</v>
      </c>
    </row>
    <row r="21" spans="1:13">
      <c r="A21" t="s">
        <v>32</v>
      </c>
      <c r="B21">
        <v>350</v>
      </c>
      <c r="C21">
        <v>375</v>
      </c>
      <c r="D21">
        <v>309.2671</v>
      </c>
      <c r="E21">
        <v>308.6161</v>
      </c>
      <c r="F21">
        <v>0.6</v>
      </c>
      <c r="G21">
        <v>1</v>
      </c>
      <c r="H21">
        <v>0.017</v>
      </c>
      <c r="I21">
        <v>0.003</v>
      </c>
      <c r="J21">
        <v>0.6</v>
      </c>
      <c r="K21">
        <v>1</v>
      </c>
      <c r="L21" s="2">
        <v>0</v>
      </c>
      <c r="M21">
        <v>0.17</v>
      </c>
    </row>
    <row r="22" spans="1:13">
      <c r="A22" t="s">
        <v>33</v>
      </c>
      <c r="B22">
        <v>375</v>
      </c>
      <c r="C22">
        <v>379</v>
      </c>
      <c r="D22">
        <v>308.6161</v>
      </c>
      <c r="E22">
        <v>308.4648</v>
      </c>
      <c r="F22">
        <v>0.6</v>
      </c>
      <c r="G22">
        <v>1</v>
      </c>
      <c r="H22">
        <v>0.017</v>
      </c>
      <c r="I22">
        <v>0.003</v>
      </c>
      <c r="J22">
        <v>0.6</v>
      </c>
      <c r="K22">
        <v>1</v>
      </c>
      <c r="L22" s="2">
        <v>0</v>
      </c>
      <c r="M22">
        <v>0.17</v>
      </c>
    </row>
    <row r="23" s="1" customFormat="1" spans="1:13">
      <c r="A23" s="1" t="s">
        <v>34</v>
      </c>
      <c r="B23" s="1">
        <v>379</v>
      </c>
      <c r="C23" s="1">
        <v>400</v>
      </c>
      <c r="D23" s="1">
        <v>308.4648</v>
      </c>
      <c r="E23" s="1">
        <v>307.5981</v>
      </c>
      <c r="F23" s="1">
        <v>0.6</v>
      </c>
      <c r="G23" s="1">
        <v>1</v>
      </c>
      <c r="H23" s="1">
        <v>0.017</v>
      </c>
      <c r="I23" s="1">
        <v>0.003</v>
      </c>
      <c r="J23" s="1">
        <v>0.6</v>
      </c>
      <c r="K23" s="1">
        <v>1</v>
      </c>
      <c r="L23" s="4">
        <f>L15</f>
        <v>-1.5</v>
      </c>
      <c r="M23" s="1">
        <v>0.17</v>
      </c>
    </row>
    <row r="24" spans="1:13">
      <c r="A24" t="s">
        <v>35</v>
      </c>
      <c r="B24">
        <v>400</v>
      </c>
      <c r="C24">
        <v>425</v>
      </c>
      <c r="D24">
        <v>307.5981</v>
      </c>
      <c r="E24">
        <v>306.5908</v>
      </c>
      <c r="F24">
        <v>0.6</v>
      </c>
      <c r="G24">
        <v>1</v>
      </c>
      <c r="H24">
        <v>0.017</v>
      </c>
      <c r="I24">
        <v>0.003</v>
      </c>
      <c r="J24">
        <v>0.6</v>
      </c>
      <c r="K24">
        <v>1</v>
      </c>
      <c r="L24" s="2">
        <v>0</v>
      </c>
      <c r="M24">
        <v>0.17</v>
      </c>
    </row>
    <row r="25" spans="1:13">
      <c r="A25" t="s">
        <v>36</v>
      </c>
      <c r="B25">
        <v>425</v>
      </c>
      <c r="C25">
        <v>434</v>
      </c>
      <c r="D25">
        <v>306.5908</v>
      </c>
      <c r="E25">
        <v>306.2748</v>
      </c>
      <c r="F25">
        <v>0.6</v>
      </c>
      <c r="G25">
        <v>1</v>
      </c>
      <c r="H25">
        <v>0.017</v>
      </c>
      <c r="I25">
        <v>0.003</v>
      </c>
      <c r="J25">
        <v>0.6</v>
      </c>
      <c r="K25">
        <v>1</v>
      </c>
      <c r="L25" s="2">
        <v>0</v>
      </c>
      <c r="M25">
        <v>0.17</v>
      </c>
    </row>
    <row r="26" s="1" customFormat="1" spans="1:13">
      <c r="A26" s="1" t="s">
        <v>37</v>
      </c>
      <c r="B26" s="1">
        <v>434</v>
      </c>
      <c r="C26" s="1">
        <v>450</v>
      </c>
      <c r="D26" s="1">
        <v>306.2748</v>
      </c>
      <c r="E26" s="1">
        <v>305.7326</v>
      </c>
      <c r="F26" s="1">
        <v>0.6</v>
      </c>
      <c r="G26" s="1">
        <v>1</v>
      </c>
      <c r="H26" s="1">
        <v>0.017</v>
      </c>
      <c r="I26" s="1">
        <v>0.003</v>
      </c>
      <c r="J26" s="1">
        <v>0.6</v>
      </c>
      <c r="K26" s="1">
        <v>1</v>
      </c>
      <c r="L26" s="4">
        <f>L23</f>
        <v>-1.5</v>
      </c>
      <c r="M26" s="1">
        <v>0.17</v>
      </c>
    </row>
    <row r="27" spans="1:13">
      <c r="A27" t="s">
        <v>38</v>
      </c>
      <c r="B27">
        <v>450</v>
      </c>
      <c r="C27">
        <v>475</v>
      </c>
      <c r="D27">
        <v>305.7326</v>
      </c>
      <c r="E27">
        <v>304.8389</v>
      </c>
      <c r="F27">
        <v>0.6</v>
      </c>
      <c r="G27">
        <v>1</v>
      </c>
      <c r="H27">
        <v>0.017</v>
      </c>
      <c r="I27">
        <v>0.003</v>
      </c>
      <c r="J27">
        <v>0.6</v>
      </c>
      <c r="K27">
        <v>1</v>
      </c>
      <c r="L27" s="2">
        <v>0</v>
      </c>
      <c r="M27">
        <v>0.17</v>
      </c>
    </row>
    <row r="28" spans="1:13">
      <c r="A28" t="s">
        <v>39</v>
      </c>
      <c r="B28">
        <v>475</v>
      </c>
      <c r="C28">
        <v>494</v>
      </c>
      <c r="D28">
        <v>304.8389</v>
      </c>
      <c r="E28">
        <v>304.267</v>
      </c>
      <c r="F28">
        <v>0.6</v>
      </c>
      <c r="G28">
        <v>1</v>
      </c>
      <c r="H28">
        <v>0.017</v>
      </c>
      <c r="I28">
        <v>0.003</v>
      </c>
      <c r="J28">
        <v>0.6</v>
      </c>
      <c r="K28">
        <v>1</v>
      </c>
      <c r="L28" s="2">
        <v>0</v>
      </c>
      <c r="M28">
        <v>0.17</v>
      </c>
    </row>
    <row r="29" s="1" customFormat="1" spans="1:13">
      <c r="A29" s="1" t="s">
        <v>40</v>
      </c>
      <c r="B29" s="1">
        <v>494</v>
      </c>
      <c r="C29" s="1">
        <v>500</v>
      </c>
      <c r="D29" s="1">
        <v>304.267</v>
      </c>
      <c r="E29" s="1">
        <v>304.0921</v>
      </c>
      <c r="F29" s="1">
        <v>0.6</v>
      </c>
      <c r="G29" s="1">
        <v>1</v>
      </c>
      <c r="H29" s="1">
        <v>0.017</v>
      </c>
      <c r="I29" s="1">
        <v>0.003</v>
      </c>
      <c r="J29" s="1">
        <v>0.6</v>
      </c>
      <c r="K29" s="1">
        <v>1</v>
      </c>
      <c r="L29" s="4">
        <f>L26</f>
        <v>-1.5</v>
      </c>
      <c r="M29" s="1">
        <v>0.17</v>
      </c>
    </row>
    <row r="30" spans="1:13">
      <c r="A30" t="s">
        <v>41</v>
      </c>
      <c r="B30">
        <v>500</v>
      </c>
      <c r="C30">
        <v>525</v>
      </c>
      <c r="D30">
        <v>304.0921</v>
      </c>
      <c r="E30">
        <v>303.6332</v>
      </c>
      <c r="F30">
        <v>0.6</v>
      </c>
      <c r="G30">
        <v>1</v>
      </c>
      <c r="H30">
        <v>0.017</v>
      </c>
      <c r="I30">
        <v>0.003</v>
      </c>
      <c r="J30">
        <v>0.6</v>
      </c>
      <c r="K30">
        <v>1</v>
      </c>
      <c r="L30" s="2">
        <v>0</v>
      </c>
      <c r="M30">
        <v>0.17</v>
      </c>
    </row>
    <row r="31" spans="1:13">
      <c r="A31" t="s">
        <v>42</v>
      </c>
      <c r="B31">
        <v>525</v>
      </c>
      <c r="C31">
        <v>550</v>
      </c>
      <c r="D31">
        <v>303.6332</v>
      </c>
      <c r="E31">
        <v>302.8863</v>
      </c>
      <c r="F31">
        <v>0.6</v>
      </c>
      <c r="G31">
        <v>1</v>
      </c>
      <c r="H31">
        <v>0.017</v>
      </c>
      <c r="I31">
        <v>0.003</v>
      </c>
      <c r="J31">
        <v>0.6</v>
      </c>
      <c r="K31">
        <v>1</v>
      </c>
      <c r="L31" s="2">
        <v>0</v>
      </c>
      <c r="M31">
        <v>0.17</v>
      </c>
    </row>
    <row r="32" spans="1:13">
      <c r="A32" t="s">
        <v>43</v>
      </c>
      <c r="B32">
        <v>550</v>
      </c>
      <c r="C32">
        <v>569</v>
      </c>
      <c r="D32">
        <v>302.8863</v>
      </c>
      <c r="E32">
        <v>302.7439</v>
      </c>
      <c r="F32">
        <v>0.6</v>
      </c>
      <c r="G32">
        <v>1</v>
      </c>
      <c r="H32">
        <v>0.017</v>
      </c>
      <c r="I32">
        <v>0.003</v>
      </c>
      <c r="J32">
        <v>0.6</v>
      </c>
      <c r="K32">
        <v>1</v>
      </c>
      <c r="L32" s="2">
        <v>0</v>
      </c>
      <c r="M32">
        <v>0.17</v>
      </c>
    </row>
    <row r="33" s="1" customFormat="1" spans="1:13">
      <c r="A33" s="1" t="s">
        <v>44</v>
      </c>
      <c r="B33" s="1">
        <v>569</v>
      </c>
      <c r="C33" s="1">
        <v>575</v>
      </c>
      <c r="D33" s="1">
        <v>302.7439</v>
      </c>
      <c r="E33" s="1">
        <v>302.6489</v>
      </c>
      <c r="F33" s="1">
        <v>0.6</v>
      </c>
      <c r="G33" s="1">
        <v>1</v>
      </c>
      <c r="H33" s="1">
        <v>0.017</v>
      </c>
      <c r="I33" s="1">
        <v>0.003</v>
      </c>
      <c r="J33" s="1">
        <v>0.6</v>
      </c>
      <c r="K33" s="1">
        <v>1</v>
      </c>
      <c r="L33" s="4">
        <f>L29</f>
        <v>-1.5</v>
      </c>
      <c r="M33" s="1">
        <v>0.17</v>
      </c>
    </row>
    <row r="34" spans="1:13">
      <c r="A34" t="s">
        <v>45</v>
      </c>
      <c r="B34">
        <v>575</v>
      </c>
      <c r="C34">
        <v>600</v>
      </c>
      <c r="D34">
        <v>302.6489</v>
      </c>
      <c r="E34">
        <v>301.8918</v>
      </c>
      <c r="F34">
        <v>0.6</v>
      </c>
      <c r="G34">
        <v>1</v>
      </c>
      <c r="H34">
        <v>0.017</v>
      </c>
      <c r="I34">
        <v>0.003</v>
      </c>
      <c r="J34">
        <v>0.6</v>
      </c>
      <c r="K34">
        <v>1</v>
      </c>
      <c r="L34" s="2">
        <v>0</v>
      </c>
      <c r="M34">
        <v>0.17</v>
      </c>
    </row>
    <row r="35" spans="1:13">
      <c r="A35" t="s">
        <v>46</v>
      </c>
      <c r="B35">
        <v>600</v>
      </c>
      <c r="C35">
        <v>625</v>
      </c>
      <c r="D35">
        <v>301.8918</v>
      </c>
      <c r="E35">
        <v>301.2678</v>
      </c>
      <c r="F35">
        <v>0.6</v>
      </c>
      <c r="G35">
        <v>1</v>
      </c>
      <c r="H35">
        <v>0.017</v>
      </c>
      <c r="I35">
        <v>0.003</v>
      </c>
      <c r="J35">
        <v>0.6</v>
      </c>
      <c r="K35">
        <v>1</v>
      </c>
      <c r="L35" s="2">
        <v>0</v>
      </c>
      <c r="M35">
        <v>0.17</v>
      </c>
    </row>
    <row r="36" spans="1:13">
      <c r="A36" t="s">
        <v>47</v>
      </c>
      <c r="B36">
        <v>625</v>
      </c>
      <c r="C36">
        <v>640</v>
      </c>
      <c r="D36">
        <v>301.2678</v>
      </c>
      <c r="E36">
        <v>300.848</v>
      </c>
      <c r="F36">
        <v>0.6</v>
      </c>
      <c r="G36">
        <v>1</v>
      </c>
      <c r="H36">
        <v>0.017</v>
      </c>
      <c r="I36">
        <v>0.003</v>
      </c>
      <c r="J36">
        <v>0.6</v>
      </c>
      <c r="K36">
        <v>1</v>
      </c>
      <c r="L36" s="2">
        <v>0</v>
      </c>
      <c r="M36">
        <v>0.17</v>
      </c>
    </row>
    <row r="37" s="1" customFormat="1" spans="1:13">
      <c r="A37" s="1" t="s">
        <v>48</v>
      </c>
      <c r="B37" s="1">
        <v>640</v>
      </c>
      <c r="C37" s="1">
        <v>650</v>
      </c>
      <c r="D37" s="1">
        <v>300.848</v>
      </c>
      <c r="E37" s="1">
        <v>300.4747</v>
      </c>
      <c r="F37" s="1">
        <v>0.6</v>
      </c>
      <c r="G37" s="1">
        <v>1</v>
      </c>
      <c r="H37" s="1">
        <v>0.017</v>
      </c>
      <c r="I37" s="1">
        <v>0.003</v>
      </c>
      <c r="J37" s="1">
        <v>0.6</v>
      </c>
      <c r="K37" s="1">
        <v>1</v>
      </c>
      <c r="L37" s="4">
        <f>L33</f>
        <v>-1.5</v>
      </c>
      <c r="M37" s="1">
        <v>0.17</v>
      </c>
    </row>
    <row r="38" spans="1:13">
      <c r="A38" t="s">
        <v>49</v>
      </c>
      <c r="B38">
        <v>650</v>
      </c>
      <c r="C38">
        <v>675</v>
      </c>
      <c r="D38">
        <v>300.4747</v>
      </c>
      <c r="E38">
        <v>299.4569</v>
      </c>
      <c r="F38">
        <v>0.6</v>
      </c>
      <c r="G38">
        <v>1</v>
      </c>
      <c r="H38">
        <v>0.017</v>
      </c>
      <c r="I38">
        <v>0.003</v>
      </c>
      <c r="J38">
        <v>0.6</v>
      </c>
      <c r="K38">
        <v>1</v>
      </c>
      <c r="L38" s="2">
        <v>0</v>
      </c>
      <c r="M38">
        <v>0.17</v>
      </c>
    </row>
    <row r="39" spans="1:13">
      <c r="A39" t="s">
        <v>50</v>
      </c>
      <c r="B39">
        <v>675</v>
      </c>
      <c r="C39">
        <v>700</v>
      </c>
      <c r="D39">
        <v>299.4569</v>
      </c>
      <c r="E39">
        <v>298.4961</v>
      </c>
      <c r="F39">
        <v>0.6</v>
      </c>
      <c r="G39">
        <v>1</v>
      </c>
      <c r="H39">
        <v>0.017</v>
      </c>
      <c r="I39">
        <v>0.003</v>
      </c>
      <c r="J39">
        <v>0.6</v>
      </c>
      <c r="K39">
        <v>1</v>
      </c>
      <c r="L39" s="2">
        <v>0</v>
      </c>
      <c r="M39">
        <v>0.17</v>
      </c>
    </row>
    <row r="40" spans="1:13">
      <c r="A40" t="s">
        <v>51</v>
      </c>
      <c r="B40">
        <v>700</v>
      </c>
      <c r="C40">
        <v>708</v>
      </c>
      <c r="D40">
        <v>298.4961</v>
      </c>
      <c r="E40">
        <v>298.2082</v>
      </c>
      <c r="F40">
        <v>0.6</v>
      </c>
      <c r="G40">
        <v>1</v>
      </c>
      <c r="H40">
        <v>0.017</v>
      </c>
      <c r="I40">
        <v>0.003</v>
      </c>
      <c r="J40">
        <v>0.6</v>
      </c>
      <c r="K40">
        <v>1</v>
      </c>
      <c r="L40" s="2">
        <v>0</v>
      </c>
      <c r="M40">
        <v>0.17</v>
      </c>
    </row>
    <row r="41" s="1" customFormat="1" spans="1:13">
      <c r="A41" s="1" t="s">
        <v>52</v>
      </c>
      <c r="B41" s="1">
        <v>708</v>
      </c>
      <c r="C41" s="1">
        <v>725</v>
      </c>
      <c r="D41" s="1">
        <v>298.2082</v>
      </c>
      <c r="E41" s="1">
        <v>297.4908</v>
      </c>
      <c r="F41" s="1">
        <v>0.6</v>
      </c>
      <c r="G41" s="1">
        <v>1</v>
      </c>
      <c r="H41" s="1">
        <v>0.017</v>
      </c>
      <c r="I41" s="1">
        <v>0.003</v>
      </c>
      <c r="J41" s="1">
        <v>0.6</v>
      </c>
      <c r="K41" s="1">
        <v>1</v>
      </c>
      <c r="L41" s="4">
        <f>L37</f>
        <v>-1.5</v>
      </c>
      <c r="M41" s="1">
        <v>0.17</v>
      </c>
    </row>
    <row r="42" spans="1:13">
      <c r="A42" t="s">
        <v>53</v>
      </c>
      <c r="B42">
        <v>725</v>
      </c>
      <c r="C42">
        <v>750</v>
      </c>
      <c r="D42">
        <v>297.4908</v>
      </c>
      <c r="E42">
        <v>296.2493</v>
      </c>
      <c r="F42">
        <v>0.6</v>
      </c>
      <c r="G42">
        <v>1</v>
      </c>
      <c r="H42">
        <v>0.017</v>
      </c>
      <c r="I42">
        <v>0.003</v>
      </c>
      <c r="J42">
        <v>0.6</v>
      </c>
      <c r="K42">
        <v>1</v>
      </c>
      <c r="L42" s="2">
        <v>0</v>
      </c>
      <c r="M42">
        <v>0.17</v>
      </c>
    </row>
    <row r="43" spans="1:13">
      <c r="A43" t="s">
        <v>54</v>
      </c>
      <c r="B43">
        <v>750</v>
      </c>
      <c r="C43">
        <v>775</v>
      </c>
      <c r="D43">
        <v>296.2493</v>
      </c>
      <c r="E43">
        <v>294.9366</v>
      </c>
      <c r="F43">
        <v>0.6</v>
      </c>
      <c r="G43">
        <v>0</v>
      </c>
      <c r="H43">
        <v>0.017</v>
      </c>
      <c r="I43">
        <v>0.003</v>
      </c>
      <c r="J43">
        <v>0.6</v>
      </c>
      <c r="K43">
        <v>0</v>
      </c>
      <c r="L43" s="2">
        <v>0</v>
      </c>
      <c r="M43">
        <v>0.17</v>
      </c>
    </row>
    <row r="44" spans="1:13">
      <c r="A44" t="s">
        <v>55</v>
      </c>
      <c r="B44">
        <v>775</v>
      </c>
      <c r="C44">
        <v>780</v>
      </c>
      <c r="D44">
        <v>294.9366</v>
      </c>
      <c r="E44">
        <v>294.6722</v>
      </c>
      <c r="F44">
        <v>0.6</v>
      </c>
      <c r="G44">
        <v>0</v>
      </c>
      <c r="H44">
        <v>0.017</v>
      </c>
      <c r="I44">
        <v>0.003</v>
      </c>
      <c r="J44">
        <v>0.6</v>
      </c>
      <c r="K44">
        <v>0</v>
      </c>
      <c r="L44" s="2">
        <v>0</v>
      </c>
      <c r="M44">
        <v>0.17</v>
      </c>
    </row>
    <row r="45" s="1" customFormat="1" spans="1:13">
      <c r="A45" s="1" t="s">
        <v>56</v>
      </c>
      <c r="B45" s="1">
        <v>780</v>
      </c>
      <c r="C45" s="1">
        <v>800</v>
      </c>
      <c r="D45" s="1">
        <v>294.6722</v>
      </c>
      <c r="E45" s="1">
        <v>293.7447</v>
      </c>
      <c r="F45" s="1">
        <v>0.6</v>
      </c>
      <c r="G45" s="1">
        <v>0</v>
      </c>
      <c r="H45" s="1">
        <v>0.017</v>
      </c>
      <c r="I45" s="1">
        <v>0.003</v>
      </c>
      <c r="J45" s="1">
        <v>0.6</v>
      </c>
      <c r="K45" s="1">
        <v>0</v>
      </c>
      <c r="L45" s="4">
        <f>L41</f>
        <v>-1.5</v>
      </c>
      <c r="M45" s="1">
        <v>0.17</v>
      </c>
    </row>
    <row r="46" spans="1:13">
      <c r="A46" t="s">
        <v>57</v>
      </c>
      <c r="B46">
        <v>800</v>
      </c>
      <c r="C46">
        <v>825</v>
      </c>
      <c r="D46">
        <v>293.7447</v>
      </c>
      <c r="E46">
        <v>292.6913</v>
      </c>
      <c r="F46">
        <v>0.6</v>
      </c>
      <c r="G46">
        <v>1</v>
      </c>
      <c r="H46">
        <v>0.017</v>
      </c>
      <c r="I46">
        <v>0.003</v>
      </c>
      <c r="J46">
        <v>0.6</v>
      </c>
      <c r="K46">
        <v>1</v>
      </c>
      <c r="L46" s="2">
        <v>0</v>
      </c>
      <c r="M46">
        <v>0.17</v>
      </c>
    </row>
    <row r="47" spans="1:13">
      <c r="A47" t="s">
        <v>58</v>
      </c>
      <c r="B47">
        <v>825</v>
      </c>
      <c r="C47">
        <v>838</v>
      </c>
      <c r="D47">
        <v>292.6913</v>
      </c>
      <c r="E47">
        <v>292.2329</v>
      </c>
      <c r="F47">
        <v>0.6</v>
      </c>
      <c r="G47">
        <v>1</v>
      </c>
      <c r="H47">
        <v>0.017</v>
      </c>
      <c r="I47">
        <v>0.003</v>
      </c>
      <c r="J47">
        <v>0.6</v>
      </c>
      <c r="K47">
        <v>1</v>
      </c>
      <c r="L47" s="2">
        <v>0</v>
      </c>
      <c r="M47">
        <v>0.17</v>
      </c>
    </row>
    <row r="48" s="1" customFormat="1" spans="1:13">
      <c r="A48" s="1" t="s">
        <v>59</v>
      </c>
      <c r="B48" s="1">
        <v>838</v>
      </c>
      <c r="C48" s="1">
        <v>850</v>
      </c>
      <c r="D48" s="1">
        <v>292.2329</v>
      </c>
      <c r="E48" s="1">
        <v>291.795</v>
      </c>
      <c r="F48" s="1">
        <v>0.6</v>
      </c>
      <c r="G48" s="1">
        <v>1</v>
      </c>
      <c r="H48" s="1">
        <v>0.017</v>
      </c>
      <c r="I48" s="1">
        <v>0.003</v>
      </c>
      <c r="J48" s="1">
        <v>0.6</v>
      </c>
      <c r="K48" s="1">
        <v>1</v>
      </c>
      <c r="L48" s="4">
        <f>L45</f>
        <v>-1.5</v>
      </c>
      <c r="M48" s="1">
        <v>0.17</v>
      </c>
    </row>
    <row r="49" spans="1:13">
      <c r="A49" t="s">
        <v>60</v>
      </c>
      <c r="B49">
        <v>850</v>
      </c>
      <c r="C49">
        <v>875</v>
      </c>
      <c r="D49">
        <v>291.795</v>
      </c>
      <c r="E49">
        <v>290.9676</v>
      </c>
      <c r="F49">
        <v>0.6</v>
      </c>
      <c r="G49">
        <v>1</v>
      </c>
      <c r="H49">
        <v>0.017</v>
      </c>
      <c r="I49">
        <v>0.003</v>
      </c>
      <c r="J49">
        <v>0.6</v>
      </c>
      <c r="K49">
        <v>1</v>
      </c>
      <c r="L49" s="2">
        <v>0</v>
      </c>
      <c r="M49">
        <v>0.17</v>
      </c>
    </row>
    <row r="50" spans="1:13">
      <c r="A50" t="s">
        <v>61</v>
      </c>
      <c r="B50">
        <v>875</v>
      </c>
      <c r="C50">
        <v>900</v>
      </c>
      <c r="D50">
        <v>290.9676</v>
      </c>
      <c r="E50">
        <v>289.9066</v>
      </c>
      <c r="F50">
        <v>0.6</v>
      </c>
      <c r="G50">
        <v>1</v>
      </c>
      <c r="H50">
        <v>0.017</v>
      </c>
      <c r="I50">
        <v>0.003</v>
      </c>
      <c r="J50">
        <v>0.6</v>
      </c>
      <c r="K50">
        <v>1</v>
      </c>
      <c r="L50" s="2">
        <v>0</v>
      </c>
      <c r="M50">
        <v>0.17</v>
      </c>
    </row>
    <row r="51" s="1" customFormat="1" spans="1:13">
      <c r="A51" s="1" t="s">
        <v>62</v>
      </c>
      <c r="B51" s="1">
        <v>900</v>
      </c>
      <c r="C51" s="1">
        <v>925</v>
      </c>
      <c r="D51" s="1">
        <v>289.9066</v>
      </c>
      <c r="E51" s="1">
        <v>288.9242</v>
      </c>
      <c r="F51" s="1">
        <v>0.6</v>
      </c>
      <c r="G51" s="1">
        <v>1</v>
      </c>
      <c r="H51" s="1">
        <v>0.017</v>
      </c>
      <c r="I51" s="1">
        <v>0.003</v>
      </c>
      <c r="J51" s="1">
        <v>0.6</v>
      </c>
      <c r="K51" s="1">
        <v>1</v>
      </c>
      <c r="L51" s="4">
        <f>L48</f>
        <v>-1.5</v>
      </c>
      <c r="M51" s="1">
        <v>0.17</v>
      </c>
    </row>
    <row r="52" spans="1:13">
      <c r="A52" t="s">
        <v>63</v>
      </c>
      <c r="B52">
        <v>925</v>
      </c>
      <c r="C52">
        <v>944</v>
      </c>
      <c r="D52">
        <v>288.9242</v>
      </c>
      <c r="E52">
        <v>288.0402</v>
      </c>
      <c r="F52">
        <v>0.6</v>
      </c>
      <c r="G52">
        <v>1</v>
      </c>
      <c r="H52">
        <v>0.017</v>
      </c>
      <c r="I52">
        <v>0.003</v>
      </c>
      <c r="J52">
        <v>0.6</v>
      </c>
      <c r="K52">
        <v>1</v>
      </c>
      <c r="L52" s="2">
        <v>0</v>
      </c>
      <c r="M52">
        <v>0.17</v>
      </c>
    </row>
    <row r="53" s="1" customFormat="1" spans="1:13">
      <c r="A53" s="1" t="s">
        <v>64</v>
      </c>
      <c r="B53" s="1">
        <v>944</v>
      </c>
      <c r="C53" s="1">
        <v>950</v>
      </c>
      <c r="D53" s="1">
        <v>288.0402</v>
      </c>
      <c r="E53" s="1">
        <v>287.7711</v>
      </c>
      <c r="F53" s="1">
        <v>0.6</v>
      </c>
      <c r="G53" s="1">
        <v>1</v>
      </c>
      <c r="H53" s="1">
        <v>0.017</v>
      </c>
      <c r="I53" s="1">
        <v>0.003</v>
      </c>
      <c r="J53" s="1">
        <v>0.6</v>
      </c>
      <c r="K53" s="1">
        <v>1</v>
      </c>
      <c r="L53" s="4">
        <f>L51</f>
        <v>-1.5</v>
      </c>
      <c r="M53" s="1">
        <v>0.17</v>
      </c>
    </row>
    <row r="54" spans="1:13">
      <c r="A54" t="s">
        <v>65</v>
      </c>
      <c r="B54">
        <v>950</v>
      </c>
      <c r="C54">
        <v>975</v>
      </c>
      <c r="D54">
        <v>287.7711</v>
      </c>
      <c r="E54">
        <v>286.5484</v>
      </c>
      <c r="F54">
        <v>0.6</v>
      </c>
      <c r="G54">
        <v>1</v>
      </c>
      <c r="H54">
        <v>0.017</v>
      </c>
      <c r="I54">
        <v>0.003</v>
      </c>
      <c r="J54">
        <v>0.6</v>
      </c>
      <c r="K54">
        <v>1</v>
      </c>
      <c r="L54" s="2">
        <v>0</v>
      </c>
      <c r="M54">
        <v>0.17</v>
      </c>
    </row>
    <row r="55" spans="1:13">
      <c r="A55" t="s">
        <v>66</v>
      </c>
      <c r="B55">
        <v>975</v>
      </c>
      <c r="C55">
        <v>1000</v>
      </c>
      <c r="D55">
        <v>286.5484</v>
      </c>
      <c r="E55">
        <v>285.1579</v>
      </c>
      <c r="F55">
        <v>0.6</v>
      </c>
      <c r="G55">
        <v>1</v>
      </c>
      <c r="H55">
        <v>0.017</v>
      </c>
      <c r="I55">
        <v>0.003</v>
      </c>
      <c r="J55">
        <v>0.6</v>
      </c>
      <c r="K55">
        <v>1</v>
      </c>
      <c r="L55" s="2">
        <v>0</v>
      </c>
      <c r="M55">
        <v>0.17</v>
      </c>
    </row>
    <row r="56" s="1" customFormat="1" spans="1:13">
      <c r="A56" s="1" t="s">
        <v>67</v>
      </c>
      <c r="B56" s="1">
        <v>1000</v>
      </c>
      <c r="C56" s="1">
        <v>1025</v>
      </c>
      <c r="D56" s="1">
        <v>285.1579</v>
      </c>
      <c r="E56" s="1">
        <v>284.0066</v>
      </c>
      <c r="F56" s="1">
        <v>0.6</v>
      </c>
      <c r="G56" s="1">
        <v>1</v>
      </c>
      <c r="H56" s="1">
        <v>0.017</v>
      </c>
      <c r="I56" s="1">
        <v>0.003</v>
      </c>
      <c r="J56" s="1">
        <v>0.6</v>
      </c>
      <c r="K56" s="1">
        <v>1</v>
      </c>
      <c r="L56" s="4">
        <f>L53</f>
        <v>-1.5</v>
      </c>
      <c r="M56" s="1">
        <v>0.17</v>
      </c>
    </row>
    <row r="57" spans="1:13">
      <c r="A57" t="s">
        <v>68</v>
      </c>
      <c r="B57">
        <v>1025</v>
      </c>
      <c r="C57">
        <v>1050</v>
      </c>
      <c r="D57">
        <v>284.0066</v>
      </c>
      <c r="E57">
        <v>283.0279</v>
      </c>
      <c r="F57">
        <v>0.6</v>
      </c>
      <c r="G57">
        <v>1</v>
      </c>
      <c r="H57">
        <v>0.017</v>
      </c>
      <c r="I57">
        <v>0.003</v>
      </c>
      <c r="J57">
        <v>0.6</v>
      </c>
      <c r="K57">
        <v>1</v>
      </c>
      <c r="L57" s="2">
        <v>0</v>
      </c>
      <c r="M57">
        <v>0.17</v>
      </c>
    </row>
    <row r="58" s="1" customFormat="1" spans="1:13">
      <c r="A58" s="1" t="s">
        <v>69</v>
      </c>
      <c r="B58" s="1">
        <v>1050</v>
      </c>
      <c r="C58" s="1">
        <v>1075</v>
      </c>
      <c r="D58" s="1">
        <v>283.0279</v>
      </c>
      <c r="E58" s="1">
        <v>282.0656</v>
      </c>
      <c r="F58" s="1">
        <v>0.6</v>
      </c>
      <c r="G58" s="1">
        <v>1</v>
      </c>
      <c r="H58" s="1">
        <v>0.017</v>
      </c>
      <c r="I58" s="1">
        <v>0.003</v>
      </c>
      <c r="J58" s="1">
        <v>0.6</v>
      </c>
      <c r="K58" s="1">
        <v>1</v>
      </c>
      <c r="L58" s="4">
        <f>L56</f>
        <v>-1.5</v>
      </c>
      <c r="M58" s="1">
        <v>0.17</v>
      </c>
    </row>
    <row r="59" spans="1:13">
      <c r="A59" t="s">
        <v>70</v>
      </c>
      <c r="B59">
        <v>1075</v>
      </c>
      <c r="C59">
        <v>1100</v>
      </c>
      <c r="D59">
        <v>282.0656</v>
      </c>
      <c r="E59">
        <v>281.1198</v>
      </c>
      <c r="F59">
        <v>0.6</v>
      </c>
      <c r="G59">
        <v>1</v>
      </c>
      <c r="H59">
        <v>0.017</v>
      </c>
      <c r="I59">
        <v>0.003</v>
      </c>
      <c r="J59">
        <v>0.6</v>
      </c>
      <c r="K59">
        <v>1</v>
      </c>
      <c r="L59" s="2">
        <v>0</v>
      </c>
      <c r="M59">
        <v>0.17</v>
      </c>
    </row>
    <row r="60" spans="1:13">
      <c r="A60" t="s">
        <v>71</v>
      </c>
      <c r="B60">
        <v>1100</v>
      </c>
      <c r="C60">
        <v>1125</v>
      </c>
      <c r="D60">
        <v>281.1198</v>
      </c>
      <c r="E60">
        <v>280.1414</v>
      </c>
      <c r="F60">
        <v>0.6</v>
      </c>
      <c r="G60">
        <v>1</v>
      </c>
      <c r="H60">
        <v>0.017</v>
      </c>
      <c r="I60">
        <v>0.003</v>
      </c>
      <c r="J60">
        <v>0.6</v>
      </c>
      <c r="K60">
        <v>1</v>
      </c>
      <c r="L60" s="2">
        <v>0</v>
      </c>
      <c r="M60">
        <v>0.17</v>
      </c>
    </row>
    <row r="61" spans="1:13">
      <c r="A61" t="s">
        <v>72</v>
      </c>
      <c r="B61">
        <v>1125</v>
      </c>
      <c r="C61">
        <v>1150</v>
      </c>
      <c r="D61">
        <v>280.1414</v>
      </c>
      <c r="E61">
        <v>278.6981</v>
      </c>
      <c r="F61">
        <v>0.6</v>
      </c>
      <c r="G61">
        <v>1</v>
      </c>
      <c r="H61">
        <v>0.017</v>
      </c>
      <c r="I61">
        <v>0.003</v>
      </c>
      <c r="J61">
        <v>0.6</v>
      </c>
      <c r="K61">
        <v>1</v>
      </c>
      <c r="L61" s="2">
        <v>0</v>
      </c>
      <c r="M61">
        <v>0.17</v>
      </c>
    </row>
    <row r="62" s="1" customFormat="1" spans="1:13">
      <c r="A62" s="1" t="s">
        <v>73</v>
      </c>
      <c r="B62" s="1">
        <v>1150</v>
      </c>
      <c r="C62" s="1">
        <v>1175</v>
      </c>
      <c r="D62" s="1">
        <v>278.6981</v>
      </c>
      <c r="E62" s="1">
        <v>277.7358</v>
      </c>
      <c r="F62" s="1">
        <v>0.6</v>
      </c>
      <c r="G62" s="1">
        <v>1</v>
      </c>
      <c r="H62" s="1">
        <v>0.017</v>
      </c>
      <c r="I62" s="1">
        <v>0.003</v>
      </c>
      <c r="J62" s="1">
        <v>0.6</v>
      </c>
      <c r="K62" s="1">
        <v>1</v>
      </c>
      <c r="L62" s="4">
        <f>L58</f>
        <v>-1.5</v>
      </c>
      <c r="M62" s="1">
        <v>0.17</v>
      </c>
    </row>
    <row r="63" spans="1:13">
      <c r="A63" t="s">
        <v>74</v>
      </c>
      <c r="B63">
        <v>1175</v>
      </c>
      <c r="C63">
        <v>1180</v>
      </c>
      <c r="D63">
        <v>277.7358</v>
      </c>
      <c r="E63">
        <v>277.519</v>
      </c>
      <c r="F63">
        <v>0.6</v>
      </c>
      <c r="G63">
        <v>1</v>
      </c>
      <c r="H63">
        <v>0.017</v>
      </c>
      <c r="I63">
        <v>0.003</v>
      </c>
      <c r="J63">
        <v>0.6</v>
      </c>
      <c r="K63">
        <v>1</v>
      </c>
      <c r="L63" s="2">
        <v>0</v>
      </c>
      <c r="M63">
        <v>0.17</v>
      </c>
    </row>
    <row r="64" s="1" customFormat="1" spans="1:13">
      <c r="A64" s="1" t="s">
        <v>75</v>
      </c>
      <c r="B64" s="1">
        <v>1180</v>
      </c>
      <c r="C64" s="1">
        <v>1200</v>
      </c>
      <c r="D64" s="1">
        <v>277.519</v>
      </c>
      <c r="E64" s="1">
        <v>277.0421</v>
      </c>
      <c r="F64" s="1">
        <v>0.6</v>
      </c>
      <c r="G64" s="1">
        <v>1</v>
      </c>
      <c r="H64" s="1">
        <v>0.017</v>
      </c>
      <c r="I64" s="1">
        <v>0.003</v>
      </c>
      <c r="J64" s="1">
        <v>0.6</v>
      </c>
      <c r="K64" s="1">
        <v>1</v>
      </c>
      <c r="L64" s="4">
        <f>L62</f>
        <v>-1.5</v>
      </c>
      <c r="M64" s="1">
        <v>0.17</v>
      </c>
    </row>
    <row r="66" spans="10:13">
      <c r="J66" s="5"/>
      <c r="K66" s="6" t="s">
        <v>76</v>
      </c>
      <c r="L66" s="7">
        <f>SUM(L2:L65)</f>
        <v>-30</v>
      </c>
      <c r="M6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2026-01-05T19-35_export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smartstudio arsitek</cp:lastModifiedBy>
  <dcterms:created xsi:type="dcterms:W3CDTF">2026-01-05T19:47:41Z</dcterms:created>
  <dcterms:modified xsi:type="dcterms:W3CDTF">2026-01-05T22:09:54Z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7297753A92BE4A7AB55F697A736777FB_13</vt:lpwstr>
  </property>
  <property fmtid="{D5CDD505-2E9C-101B-9397-08002B2CF9AE}" pid="3" name="KSOProductBuildVer">
    <vt:lpwstr>2057-12.2.0.23196</vt:lpwstr>
  </property>
</Properties>
</file>